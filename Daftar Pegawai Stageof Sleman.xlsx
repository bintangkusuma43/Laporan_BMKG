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rif Kurniawan\Office\format surat\"/>
    </mc:Choice>
  </mc:AlternateContent>
  <xr:revisionPtr revIDLastSave="0" documentId="13_ncr:1_{5BF8B0B0-51F6-42A2-B150-18B48663B3DD}" xr6:coauthVersionLast="36" xr6:coauthVersionMax="47" xr10:uidLastSave="{00000000-0000-0000-0000-000000000000}"/>
  <bookViews>
    <workbookView xWindow="-120" yWindow="-120" windowWidth="29040" windowHeight="15720" xr2:uid="{799977DB-F291-426B-ABB6-AC5A3D834D85}"/>
  </bookViews>
  <sheets>
    <sheet name="JUNI" sheetId="1" r:id="rId1"/>
  </sheets>
  <definedNames>
    <definedName name="_xlnm.Print_Area" localSheetId="0">JUNI!$A$1:$J$57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" i="1" l="1"/>
  <c r="O29" i="1"/>
  <c r="U23" i="1"/>
  <c r="O15" i="1"/>
  <c r="S11" i="1"/>
  <c r="M10" i="1"/>
  <c r="M11" i="1" s="1"/>
  <c r="M12" i="1" s="1"/>
  <c r="M13" i="1" s="1"/>
  <c r="M14" i="1" s="1"/>
</calcChain>
</file>

<file path=xl/sharedStrings.xml><?xml version="1.0" encoding="utf-8"?>
<sst xmlns="http://schemas.openxmlformats.org/spreadsheetml/2006/main" count="320" uniqueCount="187">
  <si>
    <t>DAFTAR NOMINATIF PEGAWAI</t>
  </si>
  <si>
    <t>STASIUN GEOFISIKA KELAS I SLEMAN PER 1 MEI 2025</t>
  </si>
  <si>
    <t>NO</t>
  </si>
  <si>
    <t>NAMA</t>
  </si>
  <si>
    <t>NIP</t>
  </si>
  <si>
    <t>KEPANGKATAN</t>
  </si>
  <si>
    <t xml:space="preserve">JABATAN </t>
  </si>
  <si>
    <t>PENDIDIKAN TERAKHIR</t>
  </si>
  <si>
    <t>GRADE</t>
  </si>
  <si>
    <t>TUNJANGAN KINERJA</t>
  </si>
  <si>
    <t>Rekap Jumlah Pangkat Gol Ruang</t>
  </si>
  <si>
    <t>PANGKAT/GOL</t>
  </si>
  <si>
    <t>TMT</t>
  </si>
  <si>
    <t>ARDHIANTO SEPTIADHI, S.Si.,M.T</t>
  </si>
  <si>
    <t>198109292006041007</t>
  </si>
  <si>
    <t>Pembina, IV / a</t>
  </si>
  <si>
    <t>Kepala</t>
  </si>
  <si>
    <t>02 Desember  2024</t>
  </si>
  <si>
    <t>S2</t>
  </si>
  <si>
    <t>DWI BUDI SUSANTI, ST., M.M.</t>
  </si>
  <si>
    <t>197405021998032001</t>
  </si>
  <si>
    <t>Pembina Utama Muda , IV /c</t>
  </si>
  <si>
    <t>PMG Madya</t>
  </si>
  <si>
    <t>1 Maret 2015</t>
  </si>
  <si>
    <t>No</t>
  </si>
  <si>
    <t>Jumlah Pangkat Gol ruang</t>
  </si>
  <si>
    <t>Jumlah</t>
  </si>
  <si>
    <t>Keterangan</t>
  </si>
  <si>
    <t>BAMBANG SUNARDI, S.Si.,MT</t>
  </si>
  <si>
    <t>197610252006041003</t>
  </si>
  <si>
    <t>Pembina TK.I , IV / b</t>
  </si>
  <si>
    <t>1 Juni 2022</t>
  </si>
  <si>
    <t>Pejabat Struktural</t>
  </si>
  <si>
    <t>MUJIANTO, S.T.</t>
  </si>
  <si>
    <t>197501121997031001</t>
  </si>
  <si>
    <t>1 Januari 2018</t>
  </si>
  <si>
    <t>S1</t>
  </si>
  <si>
    <t>Gol IV.b</t>
  </si>
  <si>
    <t>Fungsional PMG Ahli</t>
  </si>
  <si>
    <t>WAWAN JOKO SUWONDO, S.T., M.T.</t>
  </si>
  <si>
    <t>197706111998031001</t>
  </si>
  <si>
    <t>1 Juni 2019</t>
  </si>
  <si>
    <t>Gol IV.a</t>
  </si>
  <si>
    <t>1. PMG Madya</t>
  </si>
  <si>
    <t>MARDIYANTO,S.Si., M.Sc.</t>
  </si>
  <si>
    <t>197505161998031001</t>
  </si>
  <si>
    <t>1 Maret 2020</t>
  </si>
  <si>
    <t>Gol III.d</t>
  </si>
  <si>
    <t>2. PMG Muda</t>
  </si>
  <si>
    <t>NUGROHO BUDI W., S.Si., M.Si.</t>
  </si>
  <si>
    <t>198402232008011011</t>
  </si>
  <si>
    <t>Pembina , IV / a</t>
  </si>
  <si>
    <t>1 Februari 2021</t>
  </si>
  <si>
    <t>Gol III.c</t>
  </si>
  <si>
    <t>3. PMG Pertama</t>
  </si>
  <si>
    <t>ANAS FAUZI MASYKURI, S.Si., M.T.</t>
  </si>
  <si>
    <t>197909172006041005</t>
  </si>
  <si>
    <t>1 Agustus 2021</t>
  </si>
  <si>
    <t>Gol III.b</t>
  </si>
  <si>
    <t>HERU GUNAWAN, S.T.</t>
  </si>
  <si>
    <t>197311221995031001</t>
  </si>
  <si>
    <t>1 Maret 2022</t>
  </si>
  <si>
    <t>Gol III.a</t>
  </si>
  <si>
    <t>1. PMG Penyelia</t>
  </si>
  <si>
    <t>BIN JALI WINTORO, S.Kom.</t>
  </si>
  <si>
    <t>197210211996031001</t>
  </si>
  <si>
    <t>2. PMG Pelaksana Lanjutan</t>
  </si>
  <si>
    <t>NANA NAWANGSARI, S.Kom.</t>
  </si>
  <si>
    <t>197502101998032001</t>
  </si>
  <si>
    <t>SLAMET RIYANTA, S.Si</t>
  </si>
  <si>
    <t>197806082008011030</t>
  </si>
  <si>
    <t>1 Januari 2023</t>
  </si>
  <si>
    <t>Fungsional Umum</t>
  </si>
  <si>
    <t>ARI SUNGKOWO, S.Si.,M.T</t>
  </si>
  <si>
    <t>197607102006041003</t>
  </si>
  <si>
    <t>1 September 2022</t>
  </si>
  <si>
    <t>Fungsional Keuangan</t>
  </si>
  <si>
    <t>SAID KRISTYAWAN,S.Si., M.Si</t>
  </si>
  <si>
    <t>198406172006041003</t>
  </si>
  <si>
    <t>1 Maret 2023</t>
  </si>
  <si>
    <t>Analis Pengelolaan  Keuangan APBN</t>
  </si>
  <si>
    <t>YANUARSIH TUNGGAL PUTRI, S.Si, MDM</t>
  </si>
  <si>
    <t>198701232008012001</t>
  </si>
  <si>
    <t>01 Agustus 2023</t>
  </si>
  <si>
    <t>Rekap Jumlah Pendidikan</t>
  </si>
  <si>
    <t>Pranata Keuangan APBN Penyelia</t>
  </si>
  <si>
    <t>AGUS TRIYONO, S.T.</t>
  </si>
  <si>
    <t>198308302006041006</t>
  </si>
  <si>
    <t>YUNI DWI TRISNOWATI, S.Kom</t>
  </si>
  <si>
    <t>198406212006042002</t>
  </si>
  <si>
    <t>Pendidikan</t>
  </si>
  <si>
    <t>SIDIK PRAMONO,ST</t>
  </si>
  <si>
    <t>197602051999031002</t>
  </si>
  <si>
    <t>01 Juni 2024</t>
  </si>
  <si>
    <t>BUDIARTA, S.Si., S.Stat., MDM.</t>
  </si>
  <si>
    <t>197410311998031001</t>
  </si>
  <si>
    <t>Pembina Tk.I , IV / b</t>
  </si>
  <si>
    <t>01 Agustus 2022</t>
  </si>
  <si>
    <t>WIJI KARYANTI, ST</t>
  </si>
  <si>
    <t>197903182008012011</t>
  </si>
  <si>
    <t>D4</t>
  </si>
  <si>
    <t>ENNY EKOWATI SETYANING PUTRI,S.E</t>
  </si>
  <si>
    <t>197709022008122001</t>
  </si>
  <si>
    <t>Penata Tk.I, III / d</t>
  </si>
  <si>
    <t>01 April 2021</t>
  </si>
  <si>
    <t>D3</t>
  </si>
  <si>
    <t>MARGONO, S.T</t>
  </si>
  <si>
    <t>197305261995031001</t>
  </si>
  <si>
    <t>01 Oktober 2015</t>
  </si>
  <si>
    <t>Kepala Sub Bagian Tata Usaha</t>
  </si>
  <si>
    <t>12 Januari 2022</t>
  </si>
  <si>
    <t>D2</t>
  </si>
  <si>
    <t>Dr. AYU KRISNO EKARSTI, S.Si., M.T.</t>
  </si>
  <si>
    <t>198112282008012018</t>
  </si>
  <si>
    <t>Penata TK.I, III / d</t>
  </si>
  <si>
    <t>PMG Muda</t>
  </si>
  <si>
    <t>1 September 2015</t>
  </si>
  <si>
    <t>S3</t>
  </si>
  <si>
    <t>D1</t>
  </si>
  <si>
    <t>BERTA YUDHIASTUTI, S.Si.</t>
  </si>
  <si>
    <t>198109052006042004</t>
  </si>
  <si>
    <t>1 Mei 2014</t>
  </si>
  <si>
    <t>DIAN SUSRI NURHACI, S.T.</t>
  </si>
  <si>
    <t>198105192006042002</t>
  </si>
  <si>
    <t>1 Juni 2018</t>
  </si>
  <si>
    <t>NANA DYANA, S.T.</t>
  </si>
  <si>
    <t>198406162006042001</t>
  </si>
  <si>
    <t>1 Maret 2018</t>
  </si>
  <si>
    <t>Laki-Laki</t>
  </si>
  <si>
    <t>DINI VEMIRANTIH, S.Kom</t>
  </si>
  <si>
    <t>198511032007012002</t>
  </si>
  <si>
    <t>Perempuan</t>
  </si>
  <si>
    <t>AKHMAD FAUZI, S.T</t>
  </si>
  <si>
    <t>198802212009111001</t>
  </si>
  <si>
    <t>ARIF KURNIAWAN, S.T.,M.Eng</t>
  </si>
  <si>
    <t>198601022008011003</t>
  </si>
  <si>
    <t>1 Agustus 2018</t>
  </si>
  <si>
    <t>ARIN KUNCAHYANI, S.Si.,M.T</t>
  </si>
  <si>
    <t>198405192008012010</t>
  </si>
  <si>
    <t>1 Februari 2019</t>
  </si>
  <si>
    <t>YUBAIDAH TRI WAHYUNI, S.Si.</t>
  </si>
  <si>
    <t>198611122008122001</t>
  </si>
  <si>
    <t>WIDIYATMOKO,M.Si</t>
  </si>
  <si>
    <t>197908132006041003</t>
  </si>
  <si>
    <t>01 Januari 2019</t>
  </si>
  <si>
    <t>DIAN DAMAYANTI, SST</t>
  </si>
  <si>
    <t>198406232006042006</t>
  </si>
  <si>
    <t>SUGIARTI, A.Md</t>
  </si>
  <si>
    <t>198501122008122002</t>
  </si>
  <si>
    <t>Penata , III / c</t>
  </si>
  <si>
    <t>01 Juli 2024</t>
  </si>
  <si>
    <t>GANIS RIANDHITA, S.Tr</t>
  </si>
  <si>
    <t>199411282013122001</t>
  </si>
  <si>
    <t>Penata Muda Tk.I, III / b</t>
  </si>
  <si>
    <t>DRAJAT NGADMANTO, S.Si</t>
  </si>
  <si>
    <t>197903192008011020</t>
  </si>
  <si>
    <t>HARIYANTO</t>
  </si>
  <si>
    <t>197211221995031001</t>
  </si>
  <si>
    <t>PMG Penyelia</t>
  </si>
  <si>
    <t>1 Maret 2014</t>
  </si>
  <si>
    <t>WURI HANDAYANI, A.Md</t>
  </si>
  <si>
    <t>198412312006042001</t>
  </si>
  <si>
    <t>1 Februari 2018</t>
  </si>
  <si>
    <t>CLTN</t>
  </si>
  <si>
    <t>ZAMRONI, S.Kom</t>
  </si>
  <si>
    <t>198307252008011014</t>
  </si>
  <si>
    <t>01 Agustus 2017</t>
  </si>
  <si>
    <t>AMIRUL FITRIA ADILA, A.Md</t>
  </si>
  <si>
    <t>198606112008012002</t>
  </si>
  <si>
    <t>AMALIA AINUR RAHMA., S.Tr</t>
  </si>
  <si>
    <t>199412202020012001</t>
  </si>
  <si>
    <t>PMG Pertama</t>
  </si>
  <si>
    <t>01 Januari 2024</t>
  </si>
  <si>
    <t>YUSUF HADI PERDANA, S.Tr</t>
  </si>
  <si>
    <t>199205312013121001</t>
  </si>
  <si>
    <t>ANIK WIDYASTUTI,A.Md.</t>
  </si>
  <si>
    <t>198401072009122001</t>
  </si>
  <si>
    <t>Pengelola BMN</t>
  </si>
  <si>
    <t>1 Juli 2020</t>
  </si>
  <si>
    <t>SITI RUMIATI</t>
  </si>
  <si>
    <t>197509061997032001</t>
  </si>
  <si>
    <t>Pengadministrasian Keuangan</t>
  </si>
  <si>
    <t>1 Juni 2013</t>
  </si>
  <si>
    <t>SMA</t>
  </si>
  <si>
    <t>Sleman,      Mei 2025</t>
  </si>
  <si>
    <t>Margono, S.T.</t>
  </si>
  <si>
    <t>NIP. 197305261995031001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</si>
</sst>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21]dd\ mmmm\ yyyy;@"/>
  </numFmts>
  <fonts count="11">
    <font>
      <sz val="11"/>
      <color theme="1"/>
      <name val="Aptos Narrow"/>
      <charset val="134"/>
      <scheme val="minor"/>
    </font>
    <font>
      <b/>
      <sz val="14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6" fillId="0" borderId="0"/>
    <xf numFmtId="0" fontId="6" fillId="0" borderId="0"/>
  </cellStyleXfs>
  <cellXfs count="8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1" applyNumberFormat="1" applyFont="1"/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 wrapText="1"/>
    </xf>
    <xf numFmtId="0" fontId="7" fillId="0" borderId="0" xfId="2" applyFont="1" applyAlignment="1">
      <alignment vertical="center"/>
    </xf>
    <xf numFmtId="0" fontId="6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0" fontId="6" fillId="0" borderId="3" xfId="2" applyBorder="1" applyAlignment="1">
      <alignment horizontal="center" vertical="center"/>
    </xf>
    <xf numFmtId="0" fontId="6" fillId="0" borderId="3" xfId="3" applyBorder="1" applyAlignment="1">
      <alignment horizontal="left" vertical="center"/>
    </xf>
    <xf numFmtId="0" fontId="6" fillId="0" borderId="3" xfId="2" quotePrefix="1" applyBorder="1" applyAlignment="1">
      <alignment horizontal="left" vertical="center"/>
    </xf>
    <xf numFmtId="0" fontId="6" fillId="0" borderId="3" xfId="2" applyBorder="1" applyAlignment="1">
      <alignment horizontal="left" vertical="center"/>
    </xf>
    <xf numFmtId="165" fontId="6" fillId="0" borderId="3" xfId="2" applyNumberFormat="1" applyBorder="1" applyAlignment="1">
      <alignment horizontal="left" vertical="center"/>
    </xf>
    <xf numFmtId="14" fontId="6" fillId="0" borderId="3" xfId="2" quotePrefix="1" applyNumberForma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0" borderId="3" xfId="2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49" fontId="4" fillId="0" borderId="3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7" xfId="2" applyBorder="1" applyAlignment="1">
      <alignment horizontal="center" vertical="center"/>
    </xf>
    <xf numFmtId="0" fontId="6" fillId="0" borderId="8" xfId="2" applyBorder="1" applyAlignment="1">
      <alignment horizontal="center" vertical="center"/>
    </xf>
    <xf numFmtId="0" fontId="6" fillId="0" borderId="9" xfId="2" applyBorder="1" applyAlignment="1">
      <alignment horizontal="center" vertical="center"/>
    </xf>
    <xf numFmtId="0" fontId="6" fillId="0" borderId="10" xfId="2" applyBorder="1" applyAlignment="1">
      <alignment horizontal="center" vertical="center"/>
    </xf>
    <xf numFmtId="0" fontId="6" fillId="0" borderId="11" xfId="2" applyBorder="1" applyAlignment="1">
      <alignment horizontal="center" vertical="center"/>
    </xf>
    <xf numFmtId="0" fontId="6" fillId="0" borderId="12" xfId="2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6" fillId="0" borderId="3" xfId="2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0" borderId="13" xfId="2" applyBorder="1" applyAlignment="1">
      <alignment horizontal="center" vertical="center"/>
    </xf>
    <xf numFmtId="0" fontId="6" fillId="0" borderId="13" xfId="2" applyBorder="1" applyAlignment="1">
      <alignment horizontal="center"/>
    </xf>
    <xf numFmtId="0" fontId="6" fillId="0" borderId="13" xfId="2" applyBorder="1" applyAlignment="1">
      <alignment horizontal="left" vertical="center"/>
    </xf>
    <xf numFmtId="0" fontId="4" fillId="0" borderId="13" xfId="0" applyFont="1" applyBorder="1"/>
    <xf numFmtId="0" fontId="4" fillId="0" borderId="3" xfId="0" applyFont="1" applyBorder="1"/>
    <xf numFmtId="0" fontId="4" fillId="0" borderId="3" xfId="0" applyFont="1" applyBorder="1" applyAlignment="1">
      <alignment vertical="center"/>
    </xf>
    <xf numFmtId="49" fontId="4" fillId="0" borderId="3" xfId="0" quotePrefix="1" applyNumberFormat="1" applyFont="1" applyBorder="1" applyAlignment="1">
      <alignment vertical="center" wrapText="1"/>
    </xf>
    <xf numFmtId="0" fontId="6" fillId="0" borderId="3" xfId="2" quotePrefix="1" applyBorder="1" applyAlignment="1">
      <alignment vertical="center"/>
    </xf>
    <xf numFmtId="165" fontId="6" fillId="0" borderId="3" xfId="2" quotePrefix="1" applyNumberFormat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6" fillId="2" borderId="3" xfId="2" applyFill="1" applyBorder="1" applyAlignment="1">
      <alignment horizontal="center"/>
    </xf>
    <xf numFmtId="0" fontId="6" fillId="2" borderId="3" xfId="2" applyFill="1" applyBorder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3" xfId="2" quotePrefix="1" applyFill="1" applyBorder="1" applyAlignment="1">
      <alignment horizontal="left" vertical="center"/>
    </xf>
    <xf numFmtId="165" fontId="6" fillId="2" borderId="3" xfId="2" applyNumberFormat="1" applyFill="1" applyBorder="1" applyAlignment="1">
      <alignment horizontal="left" vertical="center"/>
    </xf>
    <xf numFmtId="0" fontId="4" fillId="2" borderId="3" xfId="0" applyFont="1" applyFill="1" applyBorder="1" applyAlignment="1">
      <alignment vertical="center" wrapText="1"/>
    </xf>
    <xf numFmtId="49" fontId="4" fillId="2" borderId="3" xfId="0" applyNumberFormat="1" applyFont="1" applyFill="1" applyBorder="1" applyAlignment="1">
      <alignment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 wrapText="1"/>
    </xf>
    <xf numFmtId="0" fontId="6" fillId="0" borderId="3" xfId="2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3" xfId="2" applyFill="1" applyBorder="1" applyAlignment="1">
      <alignment horizontal="left" vertical="center"/>
    </xf>
    <xf numFmtId="0" fontId="6" fillId="3" borderId="3" xfId="2" quotePrefix="1" applyFill="1" applyBorder="1" applyAlignment="1">
      <alignment horizontal="left" vertical="center"/>
    </xf>
    <xf numFmtId="165" fontId="6" fillId="3" borderId="3" xfId="2" applyNumberFormat="1" applyFill="1" applyBorder="1" applyAlignment="1">
      <alignment horizontal="left" vertical="center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/>
    </xf>
    <xf numFmtId="164" fontId="4" fillId="3" borderId="3" xfId="1" applyNumberFormat="1" applyFont="1" applyFill="1" applyBorder="1" applyAlignment="1">
      <alignment horizontal="center" vertical="center"/>
    </xf>
    <xf numFmtId="0" fontId="6" fillId="0" borderId="0" xfId="2" applyAlignment="1">
      <alignment horizontal="center" vertical="center"/>
    </xf>
    <xf numFmtId="0" fontId="6" fillId="0" borderId="0" xfId="2"/>
    <xf numFmtId="0" fontId="6" fillId="0" borderId="0" xfId="2" applyAlignment="1">
      <alignment horizontal="left" indent="1"/>
    </xf>
    <xf numFmtId="0" fontId="9" fillId="0" borderId="0" xfId="0" applyFont="1"/>
    <xf numFmtId="0" fontId="10" fillId="2" borderId="0" xfId="0" applyFont="1" applyFill="1"/>
    <xf numFmtId="0" fontId="10" fillId="2" borderId="0" xfId="2" applyFont="1" applyFill="1" applyAlignment="1">
      <alignment horizontal="left" vertical="center"/>
    </xf>
    <xf numFmtId="0" fontId="6" fillId="0" borderId="0" xfId="2" applyAlignment="1">
      <alignment horizontal="left"/>
    </xf>
    <xf numFmtId="0" fontId="6" fillId="0" borderId="0" xfId="2" applyAlignment="1">
      <alignment horizontal="left" vertical="center"/>
    </xf>
    <xf numFmtId="0" fontId="6" fillId="0" borderId="0" xfId="2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C4A05805-3E10-4615-9112-C165FC00883F}"/>
    <cellStyle name="Normal 3" xfId="3" xr:uid="{9B5599F4-2763-4CE3-B2CF-EC02112F82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F01E-0BFD-40A5-8B0B-18994F0CDBEF}">
  <dimension ref="A1:V72"/>
  <sheetViews>
    <sheetView tabSelected="1" topLeftCell="A33" zoomScale="136" zoomScaleNormal="136" workbookViewId="0">
      <selection activeCell="B38" sqref="B38"/>
    </sheetView>
  </sheetViews>
  <sheetFormatPr defaultColWidth="7.88671875" defaultRowHeight="13.2"/>
  <cols>
    <col min="1" max="1" width="4.44140625" style="3" customWidth="1"/>
    <col min="2" max="2" width="32.33203125" style="3" customWidth="1"/>
    <col min="3" max="3" width="17.6640625" style="3" customWidth="1"/>
    <col min="4" max="4" width="18.21875" style="3" bestFit="1" customWidth="1"/>
    <col min="5" max="5" width="15.6640625" style="3" customWidth="1"/>
    <col min="6" max="6" width="34" style="3" customWidth="1"/>
    <col min="7" max="7" width="16.109375" style="3" customWidth="1"/>
    <col min="8" max="8" width="12.44140625" style="3" customWidth="1"/>
    <col min="9" max="9" width="10.21875" style="3" customWidth="1"/>
    <col min="10" max="10" width="12.21875" style="4" bestFit="1" customWidth="1"/>
    <col min="11" max="12" width="7.88671875" style="3"/>
    <col min="13" max="13" width="5.33203125" style="3" customWidth="1"/>
    <col min="14" max="14" width="19.88671875" style="3" customWidth="1"/>
    <col min="15" max="15" width="7.88671875" style="3"/>
    <col min="16" max="16" width="9" style="3" bestFit="1" customWidth="1"/>
    <col min="17" max="18" width="7.88671875" style="3"/>
    <col min="19" max="19" width="6.6640625" style="3" customWidth="1"/>
    <col min="20" max="20" width="21.88671875" style="3" customWidth="1"/>
    <col min="21" max="21" width="7.77734375" style="3" customWidth="1"/>
    <col min="22" max="22" width="10" style="3" customWidth="1"/>
    <col min="23" max="16384" width="7.88671875" style="3"/>
  </cols>
  <sheetData>
    <row r="1" spans="1:22" s="1" customFormat="1" ht="17.399999999999999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spans="1:22" s="1" customFormat="1" ht="17.399999999999999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</row>
    <row r="3" spans="1:22">
      <c r="A3" s="78"/>
      <c r="B3" s="78"/>
      <c r="C3" s="78"/>
      <c r="D3" s="78"/>
      <c r="E3" s="2"/>
    </row>
    <row r="4" spans="1:22" ht="39.6">
      <c r="A4" s="5" t="s">
        <v>2</v>
      </c>
      <c r="B4" s="6" t="s">
        <v>3</v>
      </c>
      <c r="C4" s="6" t="s">
        <v>4</v>
      </c>
      <c r="D4" s="79" t="s">
        <v>5</v>
      </c>
      <c r="E4" s="80"/>
      <c r="F4" s="81" t="s">
        <v>6</v>
      </c>
      <c r="G4" s="82"/>
      <c r="H4" s="7" t="s">
        <v>7</v>
      </c>
      <c r="I4" s="8" t="s">
        <v>8</v>
      </c>
      <c r="J4" s="9" t="s">
        <v>9</v>
      </c>
      <c r="N4" s="10" t="s">
        <v>10</v>
      </c>
      <c r="O4" s="11"/>
      <c r="P4" s="11"/>
      <c r="T4" s="10" t="s">
        <v>10</v>
      </c>
      <c r="U4" s="11"/>
      <c r="V4" s="11"/>
    </row>
    <row r="5" spans="1:22">
      <c r="A5" s="5"/>
      <c r="B5" s="12"/>
      <c r="C5" s="12"/>
      <c r="D5" s="5" t="s">
        <v>11</v>
      </c>
      <c r="E5" s="5" t="s">
        <v>12</v>
      </c>
      <c r="F5" s="5" t="s">
        <v>11</v>
      </c>
      <c r="G5" s="5" t="s">
        <v>12</v>
      </c>
      <c r="H5" s="7"/>
      <c r="I5" s="8"/>
      <c r="J5" s="13"/>
    </row>
    <row r="6" spans="1:22" ht="24.75" customHeight="1" thickBot="1">
      <c r="A6" s="14">
        <v>1</v>
      </c>
      <c r="B6" s="15" t="s">
        <v>13</v>
      </c>
      <c r="C6" s="16" t="s">
        <v>14</v>
      </c>
      <c r="D6" s="17" t="s">
        <v>15</v>
      </c>
      <c r="E6" s="18">
        <v>45748</v>
      </c>
      <c r="F6" s="17" t="s">
        <v>16</v>
      </c>
      <c r="G6" s="19" t="s">
        <v>17</v>
      </c>
      <c r="H6" s="20" t="s">
        <v>18</v>
      </c>
      <c r="I6" s="20">
        <v>13</v>
      </c>
      <c r="J6" s="21">
        <v>10936000</v>
      </c>
    </row>
    <row r="7" spans="1:22" s="26" customFormat="1" ht="25.5" customHeight="1" thickTop="1" thickBot="1">
      <c r="A7" s="22">
        <v>2</v>
      </c>
      <c r="B7" s="17" t="s">
        <v>19</v>
      </c>
      <c r="C7" s="16" t="s">
        <v>20</v>
      </c>
      <c r="D7" s="23" t="s">
        <v>21</v>
      </c>
      <c r="E7" s="18">
        <v>45505</v>
      </c>
      <c r="F7" s="24" t="s">
        <v>22</v>
      </c>
      <c r="G7" s="25" t="s">
        <v>23</v>
      </c>
      <c r="H7" s="20" t="s">
        <v>18</v>
      </c>
      <c r="I7" s="20">
        <v>11</v>
      </c>
      <c r="J7" s="21">
        <v>8757600</v>
      </c>
      <c r="S7" s="27" t="s">
        <v>24</v>
      </c>
      <c r="T7" s="28" t="s">
        <v>25</v>
      </c>
      <c r="U7" s="28" t="s">
        <v>26</v>
      </c>
      <c r="V7" s="29" t="s">
        <v>27</v>
      </c>
    </row>
    <row r="8" spans="1:22" s="26" customFormat="1" ht="25.5" customHeight="1" thickTop="1" thickBot="1">
      <c r="A8" s="14">
        <v>3</v>
      </c>
      <c r="B8" s="17" t="s">
        <v>28</v>
      </c>
      <c r="C8" s="16" t="s">
        <v>29</v>
      </c>
      <c r="D8" s="17" t="s">
        <v>30</v>
      </c>
      <c r="E8" s="18">
        <v>45505</v>
      </c>
      <c r="F8" s="24" t="s">
        <v>22</v>
      </c>
      <c r="G8" s="25" t="s">
        <v>31</v>
      </c>
      <c r="H8" s="20" t="s">
        <v>18</v>
      </c>
      <c r="I8" s="20">
        <v>11</v>
      </c>
      <c r="J8" s="21">
        <v>8757600</v>
      </c>
      <c r="M8" s="30" t="s">
        <v>24</v>
      </c>
      <c r="N8" s="31" t="s">
        <v>25</v>
      </c>
      <c r="O8" s="31" t="s">
        <v>26</v>
      </c>
      <c r="P8" s="32" t="s">
        <v>27</v>
      </c>
      <c r="S8" s="33">
        <v>1</v>
      </c>
      <c r="T8" s="14" t="s">
        <v>32</v>
      </c>
      <c r="U8" s="34">
        <v>2</v>
      </c>
      <c r="V8" s="14"/>
    </row>
    <row r="9" spans="1:22" s="26" customFormat="1" ht="25.5" customHeight="1" thickTop="1">
      <c r="A9" s="22">
        <v>4</v>
      </c>
      <c r="B9" s="17" t="s">
        <v>33</v>
      </c>
      <c r="C9" s="16" t="s">
        <v>34</v>
      </c>
      <c r="D9" s="17" t="s">
        <v>30</v>
      </c>
      <c r="E9" s="18">
        <v>45748</v>
      </c>
      <c r="F9" s="24" t="s">
        <v>22</v>
      </c>
      <c r="G9" s="25" t="s">
        <v>35</v>
      </c>
      <c r="H9" s="20" t="s">
        <v>36</v>
      </c>
      <c r="I9" s="20">
        <v>11</v>
      </c>
      <c r="J9" s="21">
        <v>8757600</v>
      </c>
      <c r="M9" s="35">
        <v>1</v>
      </c>
      <c r="N9" s="36" t="s">
        <v>37</v>
      </c>
      <c r="O9" s="37">
        <v>1</v>
      </c>
      <c r="P9" s="38"/>
      <c r="S9" s="33"/>
      <c r="T9" s="14" t="s">
        <v>38</v>
      </c>
      <c r="U9" s="34"/>
      <c r="V9" s="14"/>
    </row>
    <row r="10" spans="1:22" s="26" customFormat="1" ht="25.5" customHeight="1">
      <c r="A10" s="14">
        <v>5</v>
      </c>
      <c r="B10" s="17" t="s">
        <v>39</v>
      </c>
      <c r="C10" s="16" t="s">
        <v>40</v>
      </c>
      <c r="D10" s="17" t="s">
        <v>30</v>
      </c>
      <c r="E10" s="18">
        <v>45566</v>
      </c>
      <c r="F10" s="24" t="s">
        <v>22</v>
      </c>
      <c r="G10" s="25" t="s">
        <v>41</v>
      </c>
      <c r="H10" s="20" t="s">
        <v>18</v>
      </c>
      <c r="I10" s="20">
        <v>11</v>
      </c>
      <c r="J10" s="21">
        <v>8757600</v>
      </c>
      <c r="M10" s="35">
        <f>+M9+1</f>
        <v>2</v>
      </c>
      <c r="N10" s="36" t="s">
        <v>42</v>
      </c>
      <c r="O10" s="37">
        <v>14</v>
      </c>
      <c r="P10" s="38"/>
      <c r="S10" s="33">
        <v>2</v>
      </c>
      <c r="T10" s="14" t="s">
        <v>43</v>
      </c>
      <c r="U10" s="33">
        <v>19</v>
      </c>
      <c r="V10" s="17"/>
    </row>
    <row r="11" spans="1:22" s="26" customFormat="1" ht="25.5" customHeight="1">
      <c r="A11" s="22">
        <v>6</v>
      </c>
      <c r="B11" s="17" t="s">
        <v>44</v>
      </c>
      <c r="C11" s="16" t="s">
        <v>45</v>
      </c>
      <c r="D11" s="17" t="s">
        <v>30</v>
      </c>
      <c r="E11" s="18">
        <v>45505</v>
      </c>
      <c r="F11" s="24" t="s">
        <v>22</v>
      </c>
      <c r="G11" s="25" t="s">
        <v>46</v>
      </c>
      <c r="H11" s="20" t="s">
        <v>18</v>
      </c>
      <c r="I11" s="20">
        <v>11</v>
      </c>
      <c r="J11" s="21">
        <v>8757600</v>
      </c>
      <c r="M11" s="35">
        <f>+M10+1</f>
        <v>3</v>
      </c>
      <c r="N11" s="36" t="s">
        <v>47</v>
      </c>
      <c r="O11" s="35">
        <v>17</v>
      </c>
      <c r="P11" s="39"/>
      <c r="S11" s="33">
        <f t="shared" ref="S11" si="0">+S10+1</f>
        <v>3</v>
      </c>
      <c r="T11" s="14" t="s">
        <v>48</v>
      </c>
      <c r="U11" s="34">
        <v>13</v>
      </c>
      <c r="V11" s="17"/>
    </row>
    <row r="12" spans="1:22" s="26" customFormat="1" ht="25.5" customHeight="1">
      <c r="A12" s="14">
        <v>7</v>
      </c>
      <c r="B12" s="17" t="s">
        <v>49</v>
      </c>
      <c r="C12" s="16" t="s">
        <v>50</v>
      </c>
      <c r="D12" s="17" t="s">
        <v>51</v>
      </c>
      <c r="E12" s="18">
        <v>44287</v>
      </c>
      <c r="F12" s="24" t="s">
        <v>22</v>
      </c>
      <c r="G12" s="25" t="s">
        <v>52</v>
      </c>
      <c r="H12" s="20" t="s">
        <v>18</v>
      </c>
      <c r="I12" s="20">
        <v>11</v>
      </c>
      <c r="J12" s="21">
        <v>8757600</v>
      </c>
      <c r="M12" s="35">
        <f>+M11+1</f>
        <v>4</v>
      </c>
      <c r="N12" s="36" t="s">
        <v>53</v>
      </c>
      <c r="O12" s="37">
        <v>6</v>
      </c>
      <c r="P12" s="39"/>
      <c r="S12" s="33">
        <v>4</v>
      </c>
      <c r="T12" s="14" t="s">
        <v>54</v>
      </c>
      <c r="U12" s="34">
        <v>2</v>
      </c>
      <c r="V12" s="40"/>
    </row>
    <row r="13" spans="1:22" s="26" customFormat="1" ht="25.5" customHeight="1">
      <c r="A13" s="22">
        <v>8</v>
      </c>
      <c r="B13" s="17" t="s">
        <v>55</v>
      </c>
      <c r="C13" s="16" t="s">
        <v>56</v>
      </c>
      <c r="D13" s="17" t="s">
        <v>30</v>
      </c>
      <c r="E13" s="18">
        <v>45748</v>
      </c>
      <c r="F13" s="24" t="s">
        <v>22</v>
      </c>
      <c r="G13" s="25" t="s">
        <v>57</v>
      </c>
      <c r="H13" s="20" t="s">
        <v>18</v>
      </c>
      <c r="I13" s="20">
        <v>11</v>
      </c>
      <c r="J13" s="21">
        <v>8757600</v>
      </c>
      <c r="M13" s="35">
        <f>+M12+1</f>
        <v>5</v>
      </c>
      <c r="N13" s="36" t="s">
        <v>58</v>
      </c>
      <c r="O13" s="37">
        <v>5</v>
      </c>
      <c r="P13" s="39"/>
      <c r="S13" s="33"/>
      <c r="T13" s="41"/>
      <c r="U13" s="20">
        <v>4</v>
      </c>
      <c r="V13" s="40"/>
    </row>
    <row r="14" spans="1:22" s="26" customFormat="1" ht="25.5" customHeight="1">
      <c r="A14" s="14">
        <v>9</v>
      </c>
      <c r="B14" s="17" t="s">
        <v>59</v>
      </c>
      <c r="C14" s="16" t="s">
        <v>60</v>
      </c>
      <c r="D14" s="17" t="s">
        <v>51</v>
      </c>
      <c r="E14" s="18">
        <v>44652</v>
      </c>
      <c r="F14" s="24" t="s">
        <v>22</v>
      </c>
      <c r="G14" s="42" t="s">
        <v>61</v>
      </c>
      <c r="H14" s="20" t="s">
        <v>36</v>
      </c>
      <c r="I14" s="20">
        <v>11</v>
      </c>
      <c r="J14" s="21">
        <v>8757600</v>
      </c>
      <c r="M14" s="35">
        <f>+M13+1</f>
        <v>6</v>
      </c>
      <c r="N14" s="36" t="s">
        <v>62</v>
      </c>
      <c r="O14" s="37">
        <v>0</v>
      </c>
      <c r="P14" s="39"/>
      <c r="S14" s="33">
        <v>5</v>
      </c>
      <c r="T14" s="14" t="s">
        <v>63</v>
      </c>
      <c r="U14" s="20"/>
      <c r="V14" s="40"/>
    </row>
    <row r="15" spans="1:22" s="26" customFormat="1" ht="25.5" customHeight="1">
      <c r="A15" s="22">
        <v>10</v>
      </c>
      <c r="B15" s="17" t="s">
        <v>64</v>
      </c>
      <c r="C15" s="16" t="s">
        <v>65</v>
      </c>
      <c r="D15" s="17" t="s">
        <v>51</v>
      </c>
      <c r="E15" s="18">
        <v>44652</v>
      </c>
      <c r="F15" s="24" t="s">
        <v>22</v>
      </c>
      <c r="G15" s="42" t="s">
        <v>61</v>
      </c>
      <c r="H15" s="20" t="s">
        <v>36</v>
      </c>
      <c r="I15" s="20">
        <v>11</v>
      </c>
      <c r="J15" s="21">
        <v>8757600</v>
      </c>
      <c r="M15" s="41"/>
      <c r="N15" s="20" t="s">
        <v>26</v>
      </c>
      <c r="O15" s="20">
        <f>SUM(O9:O14)</f>
        <v>43</v>
      </c>
      <c r="P15" s="41"/>
      <c r="S15" s="33">
        <v>6</v>
      </c>
      <c r="T15" s="14" t="s">
        <v>66</v>
      </c>
      <c r="U15" s="20">
        <v>0</v>
      </c>
      <c r="V15" s="40"/>
    </row>
    <row r="16" spans="1:22" s="26" customFormat="1" ht="25.5" customHeight="1">
      <c r="A16" s="14">
        <v>11</v>
      </c>
      <c r="B16" s="17" t="s">
        <v>67</v>
      </c>
      <c r="C16" s="16" t="s">
        <v>68</v>
      </c>
      <c r="D16" s="17" t="s">
        <v>51</v>
      </c>
      <c r="E16" s="18">
        <v>44652</v>
      </c>
      <c r="F16" s="24" t="s">
        <v>22</v>
      </c>
      <c r="G16" s="42" t="s">
        <v>61</v>
      </c>
      <c r="H16" s="20" t="s">
        <v>36</v>
      </c>
      <c r="I16" s="20">
        <v>11</v>
      </c>
      <c r="J16" s="21">
        <v>8757600</v>
      </c>
      <c r="S16" s="33"/>
      <c r="T16" s="14"/>
      <c r="U16" s="20"/>
      <c r="V16" s="40"/>
    </row>
    <row r="17" spans="1:22" s="26" customFormat="1" ht="25.5" customHeight="1">
      <c r="A17" s="22">
        <v>12</v>
      </c>
      <c r="B17" s="17" t="s">
        <v>69</v>
      </c>
      <c r="C17" s="16" t="s">
        <v>70</v>
      </c>
      <c r="D17" s="17" t="s">
        <v>51</v>
      </c>
      <c r="E17" s="18">
        <v>45017</v>
      </c>
      <c r="F17" s="24" t="s">
        <v>22</v>
      </c>
      <c r="G17" s="25" t="s">
        <v>71</v>
      </c>
      <c r="H17" s="20" t="s">
        <v>36</v>
      </c>
      <c r="I17" s="20">
        <v>11</v>
      </c>
      <c r="J17" s="21">
        <v>8757600</v>
      </c>
      <c r="S17" s="33">
        <v>7</v>
      </c>
      <c r="T17" s="20" t="s">
        <v>72</v>
      </c>
      <c r="U17" s="20">
        <v>2</v>
      </c>
      <c r="V17" s="41"/>
    </row>
    <row r="18" spans="1:22" s="26" customFormat="1" ht="25.5" customHeight="1">
      <c r="A18" s="14">
        <v>13</v>
      </c>
      <c r="B18" s="17" t="s">
        <v>73</v>
      </c>
      <c r="C18" s="16" t="s">
        <v>74</v>
      </c>
      <c r="D18" s="17" t="s">
        <v>51</v>
      </c>
      <c r="E18" s="18">
        <v>44835</v>
      </c>
      <c r="F18" s="24" t="s">
        <v>22</v>
      </c>
      <c r="G18" s="25" t="s">
        <v>75</v>
      </c>
      <c r="H18" s="20" t="s">
        <v>18</v>
      </c>
      <c r="I18" s="20">
        <v>11</v>
      </c>
      <c r="J18" s="21">
        <v>8757600</v>
      </c>
      <c r="S18" s="20"/>
      <c r="T18" s="41" t="s">
        <v>76</v>
      </c>
      <c r="U18" s="20"/>
      <c r="V18" s="41"/>
    </row>
    <row r="19" spans="1:22" s="26" customFormat="1" ht="25.5" customHeight="1">
      <c r="A19" s="22">
        <v>14</v>
      </c>
      <c r="B19" s="17" t="s">
        <v>77</v>
      </c>
      <c r="C19" s="16" t="s">
        <v>78</v>
      </c>
      <c r="D19" s="17" t="s">
        <v>51</v>
      </c>
      <c r="E19" s="18">
        <v>44652</v>
      </c>
      <c r="F19" s="24" t="s">
        <v>22</v>
      </c>
      <c r="G19" s="42" t="s">
        <v>79</v>
      </c>
      <c r="H19" s="20" t="s">
        <v>18</v>
      </c>
      <c r="I19" s="20">
        <v>11</v>
      </c>
      <c r="J19" s="21">
        <v>8757600</v>
      </c>
      <c r="S19" s="20">
        <v>8</v>
      </c>
      <c r="T19" s="24" t="s">
        <v>80</v>
      </c>
      <c r="U19" s="20">
        <v>1</v>
      </c>
      <c r="V19" s="41"/>
    </row>
    <row r="20" spans="1:22" s="26" customFormat="1" ht="25.5" customHeight="1">
      <c r="A20" s="14">
        <v>15</v>
      </c>
      <c r="B20" s="17" t="s">
        <v>81</v>
      </c>
      <c r="C20" s="16" t="s">
        <v>82</v>
      </c>
      <c r="D20" s="17" t="s">
        <v>51</v>
      </c>
      <c r="E20" s="18">
        <v>45323</v>
      </c>
      <c r="F20" s="24" t="s">
        <v>22</v>
      </c>
      <c r="G20" s="25" t="s">
        <v>83</v>
      </c>
      <c r="H20" s="20" t="s">
        <v>18</v>
      </c>
      <c r="I20" s="20">
        <v>11</v>
      </c>
      <c r="J20" s="21">
        <v>8757600</v>
      </c>
      <c r="N20" s="10" t="s">
        <v>84</v>
      </c>
      <c r="S20" s="20">
        <v>9</v>
      </c>
      <c r="T20" s="24" t="s">
        <v>85</v>
      </c>
      <c r="U20" s="20">
        <v>1</v>
      </c>
      <c r="V20" s="41"/>
    </row>
    <row r="21" spans="1:22" s="26" customFormat="1" ht="25.5" customHeight="1">
      <c r="A21" s="22">
        <v>16</v>
      </c>
      <c r="B21" s="17" t="s">
        <v>86</v>
      </c>
      <c r="C21" s="16" t="s">
        <v>87</v>
      </c>
      <c r="D21" s="17" t="s">
        <v>51</v>
      </c>
      <c r="E21" s="18">
        <v>45200</v>
      </c>
      <c r="F21" s="24" t="s">
        <v>22</v>
      </c>
      <c r="G21" s="25" t="s">
        <v>83</v>
      </c>
      <c r="H21" s="20" t="s">
        <v>36</v>
      </c>
      <c r="I21" s="20">
        <v>11</v>
      </c>
      <c r="J21" s="21">
        <v>8757600</v>
      </c>
      <c r="N21" s="10"/>
      <c r="S21" s="20"/>
      <c r="T21" s="41"/>
      <c r="U21" s="20"/>
      <c r="V21" s="41"/>
    </row>
    <row r="22" spans="1:22" s="26" customFormat="1" ht="25.5" customHeight="1">
      <c r="A22" s="14">
        <v>17</v>
      </c>
      <c r="B22" s="17" t="s">
        <v>88</v>
      </c>
      <c r="C22" s="43" t="s">
        <v>89</v>
      </c>
      <c r="D22" s="17" t="s">
        <v>51</v>
      </c>
      <c r="E22" s="18">
        <v>45323</v>
      </c>
      <c r="F22" s="24" t="s">
        <v>22</v>
      </c>
      <c r="G22" s="18">
        <v>45292</v>
      </c>
      <c r="H22" s="20" t="s">
        <v>36</v>
      </c>
      <c r="I22" s="20">
        <v>11</v>
      </c>
      <c r="J22" s="21">
        <v>8757600</v>
      </c>
      <c r="M22" s="14" t="s">
        <v>24</v>
      </c>
      <c r="N22" s="14" t="s">
        <v>90</v>
      </c>
      <c r="O22" s="14" t="s">
        <v>26</v>
      </c>
      <c r="P22" s="14" t="s">
        <v>27</v>
      </c>
      <c r="S22" s="20"/>
      <c r="T22" s="41"/>
      <c r="U22" s="20"/>
      <c r="V22" s="41"/>
    </row>
    <row r="23" spans="1:22" s="45" customFormat="1" ht="25.5" customHeight="1">
      <c r="A23" s="22">
        <v>18</v>
      </c>
      <c r="B23" s="17" t="s">
        <v>91</v>
      </c>
      <c r="C23" s="16" t="s">
        <v>92</v>
      </c>
      <c r="D23" s="17" t="s">
        <v>51</v>
      </c>
      <c r="E23" s="18">
        <v>45444</v>
      </c>
      <c r="F23" s="24" t="s">
        <v>22</v>
      </c>
      <c r="G23" s="44" t="s">
        <v>93</v>
      </c>
      <c r="H23" s="20" t="s">
        <v>36</v>
      </c>
      <c r="I23" s="20">
        <v>11</v>
      </c>
      <c r="J23" s="21">
        <v>8757600</v>
      </c>
      <c r="M23" s="46">
        <v>1</v>
      </c>
      <c r="N23" s="22" t="s">
        <v>18</v>
      </c>
      <c r="O23" s="47">
        <v>14</v>
      </c>
      <c r="P23" s="48"/>
      <c r="S23" s="49"/>
      <c r="T23" s="50" t="s">
        <v>26</v>
      </c>
      <c r="U23" s="50">
        <f>SUM(U8:U20)</f>
        <v>44</v>
      </c>
      <c r="V23" s="49"/>
    </row>
    <row r="24" spans="1:22" s="26" customFormat="1" ht="25.5" customHeight="1">
      <c r="A24" s="14">
        <v>19</v>
      </c>
      <c r="B24" s="17" t="s">
        <v>94</v>
      </c>
      <c r="C24" s="16" t="s">
        <v>95</v>
      </c>
      <c r="D24" s="17" t="s">
        <v>96</v>
      </c>
      <c r="E24" s="18">
        <v>45809</v>
      </c>
      <c r="F24" s="24" t="s">
        <v>22</v>
      </c>
      <c r="G24" s="42" t="s">
        <v>97</v>
      </c>
      <c r="H24" s="20" t="s">
        <v>18</v>
      </c>
      <c r="I24" s="20">
        <v>11</v>
      </c>
      <c r="J24" s="21">
        <v>8757600</v>
      </c>
      <c r="M24" s="33">
        <v>2</v>
      </c>
      <c r="N24" s="14" t="s">
        <v>36</v>
      </c>
      <c r="O24" s="34">
        <v>20</v>
      </c>
      <c r="P24" s="17"/>
      <c r="U24" s="51"/>
    </row>
    <row r="25" spans="1:22" s="26" customFormat="1" ht="25.5" customHeight="1">
      <c r="A25" s="22">
        <v>20</v>
      </c>
      <c r="B25" s="17" t="s">
        <v>98</v>
      </c>
      <c r="C25" s="16" t="s">
        <v>99</v>
      </c>
      <c r="D25" s="17" t="s">
        <v>51</v>
      </c>
      <c r="E25" s="18">
        <v>45323</v>
      </c>
      <c r="F25" s="24" t="s">
        <v>22</v>
      </c>
      <c r="G25" s="18">
        <v>45292</v>
      </c>
      <c r="H25" s="20" t="s">
        <v>36</v>
      </c>
      <c r="I25" s="20">
        <v>11</v>
      </c>
      <c r="J25" s="21">
        <v>8757600</v>
      </c>
      <c r="M25" s="33">
        <v>3</v>
      </c>
      <c r="N25" s="20" t="s">
        <v>100</v>
      </c>
      <c r="O25" s="20">
        <v>2</v>
      </c>
      <c r="P25" s="40"/>
      <c r="U25" s="51"/>
    </row>
    <row r="26" spans="1:22" s="26" customFormat="1" ht="25.5" customHeight="1">
      <c r="A26" s="14">
        <v>21</v>
      </c>
      <c r="B26" s="17" t="s">
        <v>101</v>
      </c>
      <c r="C26" s="16" t="s">
        <v>102</v>
      </c>
      <c r="D26" s="17" t="s">
        <v>103</v>
      </c>
      <c r="E26" s="18">
        <v>45809</v>
      </c>
      <c r="F26" s="24" t="s">
        <v>80</v>
      </c>
      <c r="G26" s="25" t="s">
        <v>104</v>
      </c>
      <c r="H26" s="20" t="s">
        <v>36</v>
      </c>
      <c r="I26" s="20">
        <v>10</v>
      </c>
      <c r="J26" s="21">
        <v>5979200</v>
      </c>
      <c r="M26" s="33">
        <v>4</v>
      </c>
      <c r="N26" s="14" t="s">
        <v>105</v>
      </c>
      <c r="O26" s="33">
        <v>5</v>
      </c>
      <c r="P26" s="40"/>
      <c r="U26" s="51"/>
    </row>
    <row r="27" spans="1:22" s="26" customFormat="1" ht="25.5" customHeight="1">
      <c r="A27" s="22">
        <v>22</v>
      </c>
      <c r="B27" s="15" t="s">
        <v>106</v>
      </c>
      <c r="C27" s="16" t="s">
        <v>107</v>
      </c>
      <c r="D27" s="17" t="s">
        <v>103</v>
      </c>
      <c r="E27" s="18" t="s">
        <v>108</v>
      </c>
      <c r="F27" s="24" t="s">
        <v>109</v>
      </c>
      <c r="G27" s="25" t="s">
        <v>110</v>
      </c>
      <c r="H27" s="20" t="s">
        <v>36</v>
      </c>
      <c r="I27" s="20">
        <v>9</v>
      </c>
      <c r="J27" s="21">
        <v>5079200</v>
      </c>
      <c r="M27" s="33">
        <v>5</v>
      </c>
      <c r="N27" s="14" t="s">
        <v>111</v>
      </c>
      <c r="O27" s="34">
        <v>0</v>
      </c>
      <c r="P27" s="40"/>
      <c r="U27" s="51"/>
    </row>
    <row r="28" spans="1:22" s="26" customFormat="1" ht="25.5" customHeight="1">
      <c r="A28" s="14">
        <v>23</v>
      </c>
      <c r="B28" s="48" t="s">
        <v>112</v>
      </c>
      <c r="C28" s="52" t="s">
        <v>113</v>
      </c>
      <c r="D28" s="48" t="s">
        <v>114</v>
      </c>
      <c r="E28" s="53">
        <v>43739</v>
      </c>
      <c r="F28" s="54" t="s">
        <v>115</v>
      </c>
      <c r="G28" s="55" t="s">
        <v>116</v>
      </c>
      <c r="H28" s="50" t="s">
        <v>117</v>
      </c>
      <c r="I28" s="50">
        <v>9</v>
      </c>
      <c r="J28" s="56">
        <v>5079200</v>
      </c>
      <c r="M28" s="33">
        <v>6</v>
      </c>
      <c r="N28" s="14" t="s">
        <v>118</v>
      </c>
      <c r="O28" s="34">
        <v>1</v>
      </c>
      <c r="P28" s="41"/>
      <c r="U28" s="51"/>
    </row>
    <row r="29" spans="1:22" s="26" customFormat="1" ht="25.5" customHeight="1">
      <c r="A29" s="22">
        <v>24</v>
      </c>
      <c r="B29" s="17" t="s">
        <v>119</v>
      </c>
      <c r="C29" s="16" t="s">
        <v>120</v>
      </c>
      <c r="D29" s="17" t="s">
        <v>114</v>
      </c>
      <c r="E29" s="18">
        <v>43922</v>
      </c>
      <c r="F29" s="24" t="s">
        <v>115</v>
      </c>
      <c r="G29" s="25" t="s">
        <v>121</v>
      </c>
      <c r="H29" s="20" t="s">
        <v>36</v>
      </c>
      <c r="I29" s="20">
        <v>9</v>
      </c>
      <c r="J29" s="21">
        <v>5079200</v>
      </c>
      <c r="M29" s="41"/>
      <c r="N29" s="20" t="s">
        <v>26</v>
      </c>
      <c r="O29" s="20">
        <f>SUM(O18:O28)</f>
        <v>42</v>
      </c>
      <c r="P29" s="41"/>
      <c r="U29" s="51"/>
    </row>
    <row r="30" spans="1:22" s="26" customFormat="1" ht="25.5" customHeight="1">
      <c r="A30" s="14">
        <v>25</v>
      </c>
      <c r="B30" s="17" t="s">
        <v>122</v>
      </c>
      <c r="C30" s="16" t="s">
        <v>123</v>
      </c>
      <c r="D30" s="17" t="s">
        <v>114</v>
      </c>
      <c r="E30" s="18">
        <v>44287</v>
      </c>
      <c r="F30" s="24" t="s">
        <v>115</v>
      </c>
      <c r="G30" s="25" t="s">
        <v>124</v>
      </c>
      <c r="H30" s="20" t="s">
        <v>36</v>
      </c>
      <c r="I30" s="20">
        <v>9</v>
      </c>
      <c r="J30" s="21">
        <v>5079200</v>
      </c>
      <c r="U30" s="51"/>
    </row>
    <row r="31" spans="1:22" s="26" customFormat="1" ht="25.5" customHeight="1">
      <c r="A31" s="22">
        <v>26</v>
      </c>
      <c r="B31" s="17" t="s">
        <v>125</v>
      </c>
      <c r="C31" s="16" t="s">
        <v>126</v>
      </c>
      <c r="D31" s="17" t="s">
        <v>114</v>
      </c>
      <c r="E31" s="18">
        <v>44652</v>
      </c>
      <c r="F31" s="24" t="s">
        <v>115</v>
      </c>
      <c r="G31" s="57" t="s">
        <v>127</v>
      </c>
      <c r="H31" s="20" t="s">
        <v>36</v>
      </c>
      <c r="I31" s="20">
        <v>9</v>
      </c>
      <c r="J31" s="21">
        <v>5079200</v>
      </c>
      <c r="N31" s="26" t="s">
        <v>128</v>
      </c>
      <c r="O31" s="26">
        <v>24</v>
      </c>
      <c r="U31" s="51"/>
    </row>
    <row r="32" spans="1:22" s="26" customFormat="1" ht="25.5" customHeight="1">
      <c r="A32" s="14">
        <v>27</v>
      </c>
      <c r="B32" s="17" t="s">
        <v>129</v>
      </c>
      <c r="C32" s="16" t="s">
        <v>130</v>
      </c>
      <c r="D32" s="17" t="s">
        <v>114</v>
      </c>
      <c r="E32" s="18">
        <v>44835</v>
      </c>
      <c r="F32" s="24" t="s">
        <v>115</v>
      </c>
      <c r="G32" s="25" t="s">
        <v>41</v>
      </c>
      <c r="H32" s="20" t="s">
        <v>36</v>
      </c>
      <c r="I32" s="20">
        <v>9</v>
      </c>
      <c r="J32" s="21">
        <v>5079200</v>
      </c>
      <c r="N32" s="26" t="s">
        <v>131</v>
      </c>
      <c r="O32" s="26">
        <v>19</v>
      </c>
      <c r="U32" s="51"/>
    </row>
    <row r="33" spans="1:21" s="26" customFormat="1" ht="25.5" customHeight="1">
      <c r="A33" s="22">
        <v>28</v>
      </c>
      <c r="B33" s="41" t="s">
        <v>132</v>
      </c>
      <c r="C33" s="16" t="s">
        <v>133</v>
      </c>
      <c r="D33" s="17" t="s">
        <v>114</v>
      </c>
      <c r="E33" s="53">
        <v>44287</v>
      </c>
      <c r="F33" s="24" t="s">
        <v>115</v>
      </c>
      <c r="G33" s="18">
        <v>43922</v>
      </c>
      <c r="H33" s="20" t="s">
        <v>36</v>
      </c>
      <c r="I33" s="20">
        <v>9</v>
      </c>
      <c r="J33" s="21">
        <v>5079200</v>
      </c>
      <c r="O33" s="26">
        <f>SUM(O31:O32)</f>
        <v>43</v>
      </c>
      <c r="U33" s="51"/>
    </row>
    <row r="34" spans="1:21" s="26" customFormat="1" ht="25.5" customHeight="1">
      <c r="A34" s="14">
        <v>29</v>
      </c>
      <c r="B34" s="17" t="s">
        <v>134</v>
      </c>
      <c r="C34" s="16" t="s">
        <v>135</v>
      </c>
      <c r="D34" s="17" t="s">
        <v>114</v>
      </c>
      <c r="E34" s="18">
        <v>45323</v>
      </c>
      <c r="F34" s="24" t="s">
        <v>115</v>
      </c>
      <c r="G34" s="25" t="s">
        <v>136</v>
      </c>
      <c r="H34" s="20" t="s">
        <v>18</v>
      </c>
      <c r="I34" s="20">
        <v>9</v>
      </c>
      <c r="J34" s="21">
        <v>5079200</v>
      </c>
      <c r="U34" s="51"/>
    </row>
    <row r="35" spans="1:21" s="26" customFormat="1" ht="25.5" customHeight="1">
      <c r="A35" s="22">
        <v>30</v>
      </c>
      <c r="B35" s="17" t="s">
        <v>137</v>
      </c>
      <c r="C35" s="16" t="s">
        <v>138</v>
      </c>
      <c r="D35" s="17" t="s">
        <v>114</v>
      </c>
      <c r="E35" s="18">
        <v>45017</v>
      </c>
      <c r="F35" s="24" t="s">
        <v>115</v>
      </c>
      <c r="G35" s="25" t="s">
        <v>139</v>
      </c>
      <c r="H35" s="20" t="s">
        <v>18</v>
      </c>
      <c r="I35" s="20">
        <v>9</v>
      </c>
      <c r="J35" s="21">
        <v>5079200</v>
      </c>
      <c r="U35" s="51"/>
    </row>
    <row r="36" spans="1:21" s="26" customFormat="1" ht="25.5" customHeight="1">
      <c r="A36" s="14">
        <v>31</v>
      </c>
      <c r="B36" s="17" t="s">
        <v>140</v>
      </c>
      <c r="C36" s="16" t="s">
        <v>141</v>
      </c>
      <c r="D36" s="17" t="s">
        <v>114</v>
      </c>
      <c r="E36" s="18">
        <v>44835</v>
      </c>
      <c r="F36" s="24" t="s">
        <v>115</v>
      </c>
      <c r="G36" s="25" t="s">
        <v>41</v>
      </c>
      <c r="H36" s="20" t="s">
        <v>36</v>
      </c>
      <c r="I36" s="20">
        <v>9</v>
      </c>
      <c r="J36" s="21">
        <v>5079200</v>
      </c>
    </row>
    <row r="37" spans="1:21" s="26" customFormat="1" ht="25.5" customHeight="1">
      <c r="A37" s="22">
        <v>32</v>
      </c>
      <c r="B37" s="17" t="s">
        <v>142</v>
      </c>
      <c r="C37" s="16" t="s">
        <v>143</v>
      </c>
      <c r="D37" s="17" t="s">
        <v>114</v>
      </c>
      <c r="E37" s="18">
        <v>45017</v>
      </c>
      <c r="F37" s="24" t="s">
        <v>115</v>
      </c>
      <c r="G37" s="25" t="s">
        <v>144</v>
      </c>
      <c r="H37" s="20" t="s">
        <v>18</v>
      </c>
      <c r="I37" s="20">
        <v>9</v>
      </c>
      <c r="J37" s="21">
        <v>5079200</v>
      </c>
    </row>
    <row r="38" spans="1:21" s="26" customFormat="1" ht="25.5" customHeight="1">
      <c r="A38" s="14">
        <v>33</v>
      </c>
      <c r="B38" s="17" t="s">
        <v>145</v>
      </c>
      <c r="C38" s="16" t="s">
        <v>146</v>
      </c>
      <c r="D38" s="17" t="s">
        <v>114</v>
      </c>
      <c r="E38" s="18">
        <v>45200</v>
      </c>
      <c r="F38" s="24" t="s">
        <v>115</v>
      </c>
      <c r="G38" s="18">
        <v>42979</v>
      </c>
      <c r="H38" s="20" t="s">
        <v>100</v>
      </c>
      <c r="I38" s="20">
        <v>9</v>
      </c>
      <c r="J38" s="21">
        <v>5079200</v>
      </c>
    </row>
    <row r="39" spans="1:21" s="26" customFormat="1" ht="25.5" customHeight="1">
      <c r="A39" s="22">
        <v>34</v>
      </c>
      <c r="B39" s="58" t="s">
        <v>147</v>
      </c>
      <c r="C39" s="43" t="s">
        <v>148</v>
      </c>
      <c r="D39" s="17" t="s">
        <v>149</v>
      </c>
      <c r="E39" s="18">
        <v>45627</v>
      </c>
      <c r="F39" s="24" t="s">
        <v>85</v>
      </c>
      <c r="G39" s="25" t="s">
        <v>150</v>
      </c>
      <c r="H39" s="20" t="s">
        <v>105</v>
      </c>
      <c r="I39" s="20">
        <v>9</v>
      </c>
      <c r="J39" s="21">
        <v>5079200</v>
      </c>
    </row>
    <row r="40" spans="1:21" s="26" customFormat="1" ht="25.5" customHeight="1">
      <c r="A40" s="14">
        <v>35</v>
      </c>
      <c r="B40" s="41" t="s">
        <v>151</v>
      </c>
      <c r="C40" s="59" t="s">
        <v>152</v>
      </c>
      <c r="D40" s="17" t="s">
        <v>153</v>
      </c>
      <c r="E40" s="18">
        <v>44287</v>
      </c>
      <c r="F40" s="41" t="s">
        <v>115</v>
      </c>
      <c r="G40" s="25" t="s">
        <v>41</v>
      </c>
      <c r="H40" s="20" t="s">
        <v>100</v>
      </c>
      <c r="I40" s="20">
        <v>9</v>
      </c>
      <c r="J40" s="21">
        <v>5079200</v>
      </c>
    </row>
    <row r="41" spans="1:21" s="26" customFormat="1" ht="25.5" customHeight="1">
      <c r="A41" s="22">
        <v>36</v>
      </c>
      <c r="B41" s="17" t="s">
        <v>154</v>
      </c>
      <c r="C41" s="16" t="s">
        <v>155</v>
      </c>
      <c r="D41" s="17" t="s">
        <v>114</v>
      </c>
      <c r="E41" s="18">
        <v>44287</v>
      </c>
      <c r="F41" s="24" t="s">
        <v>115</v>
      </c>
      <c r="G41" s="18">
        <v>44713</v>
      </c>
      <c r="H41" s="20" t="s">
        <v>36</v>
      </c>
      <c r="I41" s="20">
        <v>9</v>
      </c>
      <c r="J41" s="21">
        <v>5079200</v>
      </c>
    </row>
    <row r="42" spans="1:21" s="26" customFormat="1" ht="25.5" customHeight="1">
      <c r="A42" s="14">
        <v>37</v>
      </c>
      <c r="B42" s="17" t="s">
        <v>156</v>
      </c>
      <c r="C42" s="16" t="s">
        <v>157</v>
      </c>
      <c r="D42" s="17" t="s">
        <v>114</v>
      </c>
      <c r="E42" s="18">
        <v>43922</v>
      </c>
      <c r="F42" s="24" t="s">
        <v>158</v>
      </c>
      <c r="G42" s="25" t="s">
        <v>159</v>
      </c>
      <c r="H42" s="20" t="s">
        <v>118</v>
      </c>
      <c r="I42" s="20">
        <v>8</v>
      </c>
      <c r="J42" s="21">
        <v>4595150</v>
      </c>
    </row>
    <row r="43" spans="1:21" s="26" customFormat="1" ht="25.5" customHeight="1">
      <c r="A43" s="22">
        <v>38</v>
      </c>
      <c r="B43" s="17" t="s">
        <v>160</v>
      </c>
      <c r="C43" s="16" t="s">
        <v>161</v>
      </c>
      <c r="D43" s="17" t="s">
        <v>114</v>
      </c>
      <c r="E43" s="18">
        <v>44835</v>
      </c>
      <c r="F43" s="24" t="s">
        <v>158</v>
      </c>
      <c r="G43" s="25" t="s">
        <v>162</v>
      </c>
      <c r="H43" s="20" t="s">
        <v>105</v>
      </c>
      <c r="I43" s="20">
        <v>8</v>
      </c>
      <c r="J43" s="21">
        <v>4595150</v>
      </c>
      <c r="K43" s="60" t="s">
        <v>163</v>
      </c>
    </row>
    <row r="44" spans="1:21" s="26" customFormat="1" ht="25.5" customHeight="1">
      <c r="A44" s="14">
        <v>39</v>
      </c>
      <c r="B44" s="17" t="s">
        <v>164</v>
      </c>
      <c r="C44" s="16" t="s">
        <v>165</v>
      </c>
      <c r="D44" s="17" t="s">
        <v>114</v>
      </c>
      <c r="E44" s="18">
        <v>45627</v>
      </c>
      <c r="F44" s="24" t="s">
        <v>158</v>
      </c>
      <c r="G44" s="18" t="s">
        <v>166</v>
      </c>
      <c r="H44" s="20" t="s">
        <v>105</v>
      </c>
      <c r="I44" s="20">
        <v>8</v>
      </c>
      <c r="J44" s="21">
        <v>4595150</v>
      </c>
    </row>
    <row r="45" spans="1:21" s="26" customFormat="1" ht="25.5" customHeight="1">
      <c r="A45" s="22">
        <v>40</v>
      </c>
      <c r="B45" s="61" t="s">
        <v>167</v>
      </c>
      <c r="C45" s="62" t="s">
        <v>168</v>
      </c>
      <c r="D45" s="61" t="s">
        <v>149</v>
      </c>
      <c r="E45" s="63">
        <v>44652</v>
      </c>
      <c r="F45" s="64" t="s">
        <v>158</v>
      </c>
      <c r="G45" s="63">
        <v>44593</v>
      </c>
      <c r="H45" s="65" t="s">
        <v>105</v>
      </c>
      <c r="I45" s="65">
        <v>8</v>
      </c>
      <c r="J45" s="66">
        <v>4595150</v>
      </c>
    </row>
    <row r="46" spans="1:21" s="26" customFormat="1" ht="25.5" customHeight="1">
      <c r="A46" s="14">
        <v>41</v>
      </c>
      <c r="B46" s="41" t="s">
        <v>169</v>
      </c>
      <c r="C46" s="59" t="s">
        <v>170</v>
      </c>
      <c r="D46" s="17" t="s">
        <v>153</v>
      </c>
      <c r="E46" s="18">
        <v>45748</v>
      </c>
      <c r="F46" s="41" t="s">
        <v>171</v>
      </c>
      <c r="G46" s="18" t="s">
        <v>172</v>
      </c>
      <c r="H46" s="20" t="s">
        <v>100</v>
      </c>
      <c r="I46" s="20">
        <v>8</v>
      </c>
      <c r="J46" s="21">
        <v>4595150</v>
      </c>
    </row>
    <row r="47" spans="1:21" s="26" customFormat="1" ht="25.5" customHeight="1">
      <c r="A47" s="22">
        <v>42</v>
      </c>
      <c r="B47" s="41" t="s">
        <v>173</v>
      </c>
      <c r="C47" s="59" t="s">
        <v>174</v>
      </c>
      <c r="D47" s="17" t="s">
        <v>153</v>
      </c>
      <c r="E47" s="18">
        <v>44287</v>
      </c>
      <c r="F47" s="41" t="s">
        <v>171</v>
      </c>
      <c r="G47" s="25" t="s">
        <v>93</v>
      </c>
      <c r="H47" s="20" t="s">
        <v>100</v>
      </c>
      <c r="I47" s="20">
        <v>8</v>
      </c>
      <c r="J47" s="21">
        <v>4595150</v>
      </c>
    </row>
    <row r="48" spans="1:21" s="26" customFormat="1" ht="25.5" customHeight="1">
      <c r="A48" s="14">
        <v>43</v>
      </c>
      <c r="B48" s="41" t="s">
        <v>175</v>
      </c>
      <c r="C48" s="59" t="s">
        <v>176</v>
      </c>
      <c r="D48" s="17" t="s">
        <v>153</v>
      </c>
      <c r="E48" s="18">
        <v>44652</v>
      </c>
      <c r="F48" s="24" t="s">
        <v>177</v>
      </c>
      <c r="G48" s="25" t="s">
        <v>178</v>
      </c>
      <c r="H48" s="20" t="s">
        <v>105</v>
      </c>
      <c r="I48" s="20">
        <v>7</v>
      </c>
      <c r="J48" s="21">
        <v>3915950</v>
      </c>
    </row>
    <row r="49" spans="1:11" s="26" customFormat="1" ht="25.5" customHeight="1">
      <c r="A49" s="22">
        <v>44</v>
      </c>
      <c r="B49" s="17" t="s">
        <v>179</v>
      </c>
      <c r="C49" s="16" t="s">
        <v>180</v>
      </c>
      <c r="D49" s="17" t="s">
        <v>153</v>
      </c>
      <c r="E49" s="18">
        <v>42826</v>
      </c>
      <c r="F49" s="24" t="s">
        <v>181</v>
      </c>
      <c r="G49" s="25" t="s">
        <v>182</v>
      </c>
      <c r="H49" s="20" t="s">
        <v>183</v>
      </c>
      <c r="I49" s="20">
        <v>6</v>
      </c>
      <c r="J49" s="21">
        <v>3510400</v>
      </c>
    </row>
    <row r="50" spans="1:11">
      <c r="A50" s="67"/>
      <c r="K50" s="26"/>
    </row>
    <row r="51" spans="1:11">
      <c r="A51" s="67"/>
      <c r="B51" s="11"/>
      <c r="H51" s="26" t="s">
        <v>184</v>
      </c>
    </row>
    <row r="52" spans="1:11">
      <c r="A52" s="67"/>
      <c r="B52" s="68"/>
      <c r="H52" s="26"/>
    </row>
    <row r="53" spans="1:11">
      <c r="A53" s="67"/>
      <c r="B53" s="68"/>
      <c r="C53" s="68"/>
      <c r="D53" s="69"/>
      <c r="E53" s="69"/>
    </row>
    <row r="54" spans="1:11">
      <c r="A54" s="67"/>
      <c r="B54" s="68"/>
      <c r="C54" s="68"/>
      <c r="D54" s="68"/>
      <c r="E54" s="68"/>
    </row>
    <row r="55" spans="1:11">
      <c r="A55" s="68"/>
      <c r="B55" s="68"/>
      <c r="C55" s="68"/>
      <c r="D55" s="68"/>
      <c r="E55" s="68"/>
    </row>
    <row r="56" spans="1:11">
      <c r="B56" s="70"/>
      <c r="H56" s="70" t="s">
        <v>185</v>
      </c>
    </row>
    <row r="57" spans="1:11">
      <c r="H57" s="3" t="s">
        <v>186</v>
      </c>
    </row>
    <row r="60" spans="1:11">
      <c r="A60" s="71"/>
      <c r="B60" s="72"/>
      <c r="C60" s="73"/>
      <c r="D60" s="74"/>
      <c r="E60" s="74"/>
    </row>
    <row r="63" spans="1:11">
      <c r="A63" s="2"/>
      <c r="B63" s="67"/>
      <c r="C63" s="75"/>
      <c r="D63" s="67"/>
      <c r="E63" s="74"/>
    </row>
    <row r="64" spans="1:11">
      <c r="A64" s="2"/>
      <c r="B64" s="67"/>
      <c r="C64" s="75"/>
      <c r="D64" s="67"/>
      <c r="E64" s="74"/>
    </row>
    <row r="65" spans="1:5">
      <c r="A65" s="2"/>
      <c r="B65" s="67"/>
      <c r="C65" s="75"/>
      <c r="D65" s="74"/>
      <c r="E65" s="74"/>
    </row>
    <row r="66" spans="1:5">
      <c r="A66" s="2"/>
      <c r="B66" s="67"/>
      <c r="C66" s="75"/>
      <c r="D66" s="74"/>
      <c r="E66" s="74"/>
    </row>
    <row r="67" spans="1:5">
      <c r="A67" s="2"/>
      <c r="B67" s="67"/>
      <c r="C67" s="2"/>
    </row>
    <row r="68" spans="1:5">
      <c r="A68" s="2"/>
      <c r="B68" s="67"/>
      <c r="C68" s="75"/>
    </row>
    <row r="69" spans="1:5">
      <c r="A69" s="2"/>
      <c r="B69" s="67"/>
      <c r="C69" s="75"/>
    </row>
    <row r="70" spans="1:5">
      <c r="A70" s="2"/>
      <c r="B70" s="67"/>
      <c r="C70" s="75"/>
    </row>
    <row r="71" spans="1:5">
      <c r="A71" s="2"/>
    </row>
    <row r="72" spans="1:5">
      <c r="A72" s="2"/>
    </row>
  </sheetData>
  <mergeCells count="5">
    <mergeCell ref="A1:J1"/>
    <mergeCell ref="A2:J2"/>
    <mergeCell ref="A3:D3"/>
    <mergeCell ref="D4:E4"/>
    <mergeCell ref="F4:G4"/>
  </mergeCells>
  <printOptions horizontalCentered="1"/>
  <pageMargins left="3.9370078740157488E-3" right="3.9370078740157488E-3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JUNI</vt:lpstr>
      <vt:lpstr>JUNI!Print_Area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Stasiun Geofisika Yogyakarta</cp:lastModifiedBy>
  <dcterms:created xsi:type="dcterms:W3CDTF">2025-06-16T01:33:05Z</dcterms:created>
  <dcterms:modified xsi:type="dcterms:W3CDTF">2025-07-05T12:33:50Z</dcterms:modified>
</cp:coreProperties>
</file>